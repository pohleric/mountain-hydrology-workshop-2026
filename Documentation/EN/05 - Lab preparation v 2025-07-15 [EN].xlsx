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hle/Dropbox/Fribourg/2026/workshops/CA-hydroworkshop/materials/Documentation/EN/"/>
    </mc:Choice>
  </mc:AlternateContent>
  <xr:revisionPtr revIDLastSave="0" documentId="13_ncr:1_{5E9BF063-FA51-2F4A-B3F6-4579F2A40644}" xr6:coauthVersionLast="47" xr6:coauthVersionMax="47" xr10:uidLastSave="{00000000-0000-0000-0000-000000000000}"/>
  <bookViews>
    <workbookView xWindow="1180" yWindow="780" windowWidth="33400" windowHeight="21200" xr2:uid="{00000000-000D-0000-FFFF-FFFF00000000}"/>
  </bookViews>
  <sheets>
    <sheet name="Dilution concentration gravi" sheetId="6" r:id="rId1"/>
    <sheet name="Help on injection prepar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D26" i="6" s="1"/>
  <c r="M13" i="5"/>
  <c r="H12" i="6"/>
  <c r="I15" i="6" s="1"/>
  <c r="F12" i="6"/>
  <c r="G15" i="6" s="1"/>
  <c r="D12" i="6"/>
  <c r="E15" i="6" s="1"/>
  <c r="F22" i="6"/>
  <c r="I5" i="5"/>
  <c r="H9" i="5" s="1"/>
  <c r="D9" i="5"/>
  <c r="I6" i="5"/>
  <c r="C14" i="5" s="1"/>
  <c r="C10" i="5"/>
  <c r="H15" i="6" l="1"/>
  <c r="F15" i="6"/>
  <c r="D15" i="6"/>
  <c r="D14" i="5"/>
  <c r="H10" i="5"/>
  <c r="D10" i="5"/>
  <c r="D11" i="5"/>
  <c r="H14" i="5"/>
  <c r="D16" i="6"/>
  <c r="F23" i="6" s="1"/>
  <c r="F17" i="6"/>
  <c r="C12" i="5"/>
  <c r="H12" i="5" s="1"/>
  <c r="C11" i="5"/>
  <c r="H11" i="5" s="1"/>
  <c r="C13" i="5"/>
  <c r="D13" i="5" s="1"/>
  <c r="E9" i="5"/>
  <c r="G9" i="5"/>
  <c r="F9" i="5"/>
  <c r="H13" i="5" l="1"/>
  <c r="D12" i="5"/>
  <c r="F14" i="5"/>
  <c r="F13" i="5"/>
  <c r="F12" i="5"/>
  <c r="F11" i="5"/>
  <c r="F10" i="5"/>
  <c r="G14" i="5"/>
  <c r="G11" i="5"/>
  <c r="G10" i="5"/>
  <c r="G13" i="5"/>
  <c r="G12" i="5"/>
  <c r="E10" i="5"/>
  <c r="E12" i="5"/>
  <c r="E13" i="5"/>
  <c r="E14" i="5"/>
  <c r="E11" i="5"/>
  <c r="H17" i="6"/>
  <c r="F26" i="6"/>
  <c r="F24" i="6"/>
  <c r="H26" i="6" l="1"/>
  <c r="J14" i="6"/>
  <c r="N14" i="6"/>
  <c r="P14" i="6"/>
  <c r="R13" i="6"/>
  <c r="P13" i="6"/>
  <c r="R14" i="6"/>
  <c r="L14" i="6"/>
  <c r="L13" i="6"/>
  <c r="N13" i="6"/>
  <c r="J13" i="6"/>
  <c r="J32" i="6" l="1"/>
  <c r="J31" i="6"/>
  <c r="J30" i="6"/>
  <c r="J29" i="6"/>
  <c r="J28" i="6"/>
</calcChain>
</file>

<file path=xl/sharedStrings.xml><?xml version="1.0" encoding="utf-8"?>
<sst xmlns="http://schemas.openxmlformats.org/spreadsheetml/2006/main" count="92" uniqueCount="64">
  <si>
    <t>Concentration (mg/L)</t>
  </si>
  <si>
    <t>Volume d'ajout (mL)</t>
  </si>
  <si>
    <t>Volume du récipient de calibration (mL)</t>
  </si>
  <si>
    <t>Taux de dilution de la calibration (pour un ajout)</t>
  </si>
  <si>
    <t>Taux de dilution total (pour un ajout)</t>
  </si>
  <si>
    <t>Matériel utilisé et réalisation</t>
  </si>
  <si>
    <t>Ajout de 500µL de solution de calibration avec la µ-pipette dans le récipient isotherme de 500mL (rempli avec le ballon jaugé en plastique)</t>
  </si>
  <si>
    <t>Concentration finale en µg/l (après un ajout)</t>
  </si>
  <si>
    <t>a =</t>
  </si>
  <si>
    <t>Initial solution (to be collected)</t>
  </si>
  <si>
    <t>Theoretical volume (mL)</t>
  </si>
  <si>
    <t>Collected mass (g)</t>
  </si>
  <si>
    <t>Theoretical</t>
  </si>
  <si>
    <t>Actual</t>
  </si>
  <si>
    <t>Equipment used</t>
  </si>
  <si>
    <t>Production</t>
  </si>
  <si>
    <t>Final dilution ratio</t>
  </si>
  <si>
    <t>Dilution ratio</t>
  </si>
  <si>
    <t>Lab preparation</t>
  </si>
  <si>
    <t>Input values</t>
  </si>
  <si>
    <t>Hypothesis</t>
  </si>
  <si>
    <t>low</t>
  </si>
  <si>
    <t>high</t>
  </si>
  <si>
    <t>Discharge (m³/s) :</t>
  </si>
  <si>
    <t>Tracer time of travel (s) :</t>
  </si>
  <si>
    <t>Estimated discharge (m³/s)</t>
  </si>
  <si>
    <t xml:space="preserve">Calculations based on discharge and time of travel hypothesis: </t>
  </si>
  <si>
    <t>Estimated time of travel (s)</t>
  </si>
  <si>
    <t>Dilution 1 (S1)</t>
  </si>
  <si>
    <t>Dilution 2 (S2)</t>
  </si>
  <si>
    <t>Dilution 3 (S3)</t>
  </si>
  <si>
    <t>µg  (theoretical mass)</t>
  </si>
  <si>
    <t>µg  (actual mass)</t>
  </si>
  <si>
    <t>1 step</t>
  </si>
  <si>
    <t>2 step</t>
  </si>
  <si>
    <t>3 step</t>
  </si>
  <si>
    <t>4 step</t>
  </si>
  <si>
    <t>5 step</t>
  </si>
  <si>
    <t>CALIBRATION FLUID 1</t>
  </si>
  <si>
    <t>CALIBRATION FLUID 2</t>
  </si>
  <si>
    <t>CALIBRATION FLUID 3</t>
  </si>
  <si>
    <t>CALIBRATION FLUID 4</t>
  </si>
  <si>
    <t>Calibration series (final) in 5L bucket</t>
  </si>
  <si>
    <t>This sheet shall help you to calculate the correct amounts of tracer</t>
  </si>
  <si>
    <t>Fill in the red marked cells with what you measure</t>
  </si>
  <si>
    <t>Dilution of 10 mL base solution to 2L(1L?) water</t>
  </si>
  <si>
    <t>Dilution of 10 mL of solution S1 with 2L(1L?) water</t>
  </si>
  <si>
    <t>Dilution of 10 mL of solution S2 with 2L(1L?) water</t>
  </si>
  <si>
    <t>Final solution (mass in g)/size of mixing flask (ml)</t>
  </si>
  <si>
    <t>10mL pipette/syringe &amp; 2L(1L?) volumetric flask</t>
  </si>
  <si>
    <r>
      <t xml:space="preserve">Current concentration of 50 ml in 5L. Transforming the g value of </t>
    </r>
    <r>
      <rPr>
        <sz val="11"/>
        <color theme="1"/>
        <rFont val="Calibri"/>
        <family val="2"/>
        <scheme val="minor"/>
      </rPr>
      <t>solution into g value of actual tracer powder -  (µg/L) = ppb</t>
    </r>
  </si>
  <si>
    <t>b - tracer liquid concentration [g(tracer)/g(water)]</t>
  </si>
  <si>
    <t xml:space="preserve">b = </t>
  </si>
  <si>
    <t xml:space="preserve">a : base value = </t>
  </si>
  <si>
    <t>Sample to prepare (ml) :</t>
  </si>
  <si>
    <t>Actual calibration [ppb]</t>
  </si>
  <si>
    <t>Bucket volume (L)</t>
  </si>
  <si>
    <t>Volume (mL)</t>
  </si>
  <si>
    <t>Gravimetric preparation of calibration liquids</t>
  </si>
  <si>
    <t>CALIBRATION FLUID 5</t>
  </si>
  <si>
    <t>a - target concentration in mg/L --&gt; here 10 µg/L = 10 ppb</t>
  </si>
  <si>
    <t># measured</t>
  </si>
  <si>
    <t>Base solution/Standard density (kg/L)</t>
  </si>
  <si>
    <t>Base solution/Standard concentration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</si>
</sst>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E+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32FF"/>
      <name val="Calibri"/>
      <family val="2"/>
      <scheme val="minor"/>
    </font>
    <font>
      <sz val="8"/>
      <name val="Calibri"/>
      <family val="2"/>
      <scheme val="minor"/>
    </font>
    <font>
      <sz val="11"/>
      <color rgb="FFFF32FF"/>
      <name val="Calibri"/>
      <family val="2"/>
      <scheme val="minor"/>
    </font>
    <font>
      <b/>
      <sz val="14"/>
      <color rgb="FFFF32FF"/>
      <name val="Calibri"/>
      <family val="2"/>
      <scheme val="minor"/>
    </font>
    <font>
      <b/>
      <u/>
      <sz val="14"/>
      <color rgb="FFFF32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1FC"/>
        <bgColor indexed="64"/>
      </patternFill>
    </fill>
    <fill>
      <patternFill patternType="solid">
        <fgColor rgb="FFFF666C"/>
        <bgColor indexed="64"/>
      </patternFill>
    </fill>
    <fill>
      <patternFill patternType="solid">
        <fgColor rgb="FFFEEAD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7" borderId="6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7" fillId="0" borderId="0" xfId="0" applyFont="1"/>
    <xf numFmtId="1" fontId="0" fillId="10" borderId="0" xfId="0" applyNumberFormat="1" applyFill="1"/>
    <xf numFmtId="0" fontId="0" fillId="0" borderId="5" xfId="0" applyBorder="1"/>
    <xf numFmtId="0" fontId="0" fillId="0" borderId="17" xfId="0" applyBorder="1"/>
    <xf numFmtId="0" fontId="0" fillId="0" borderId="9" xfId="0" applyBorder="1"/>
    <xf numFmtId="0" fontId="0" fillId="0" borderId="2" xfId="0" applyBorder="1"/>
    <xf numFmtId="0" fontId="8" fillId="0" borderId="0" xfId="0" applyFont="1" applyAlignment="1">
      <alignment horizontal="center"/>
    </xf>
    <xf numFmtId="0" fontId="0" fillId="3" borderId="0" xfId="0" applyFill="1" applyProtection="1">
      <protection locked="0"/>
    </xf>
    <xf numFmtId="0" fontId="0" fillId="3" borderId="13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0" borderId="13" xfId="0" applyNumberFormat="1" applyFill="1" applyBorder="1" applyAlignment="1">
      <alignment horizontal="center" vertical="center"/>
    </xf>
    <xf numFmtId="2" fontId="0" fillId="10" borderId="15" xfId="0" applyNumberFormat="1" applyFill="1" applyBorder="1" applyAlignment="1">
      <alignment horizontal="center" vertical="center"/>
    </xf>
    <xf numFmtId="2" fontId="0" fillId="10" borderId="16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0" xfId="0" applyFont="1"/>
    <xf numFmtId="164" fontId="9" fillId="0" borderId="22" xfId="0" applyNumberFormat="1" applyFont="1" applyBorder="1"/>
    <xf numFmtId="0" fontId="9" fillId="0" borderId="0" xfId="0" applyFont="1"/>
    <xf numFmtId="0" fontId="12" fillId="0" borderId="0" xfId="0" applyFont="1"/>
    <xf numFmtId="2" fontId="12" fillId="0" borderId="0" xfId="0" applyNumberFormat="1" applyFont="1"/>
    <xf numFmtId="0" fontId="0" fillId="0" borderId="0" xfId="0" applyAlignment="1">
      <alignment horizontal="left"/>
    </xf>
    <xf numFmtId="0" fontId="13" fillId="0" borderId="0" xfId="0" applyFont="1" applyAlignment="1">
      <alignment wrapText="1"/>
    </xf>
    <xf numFmtId="0" fontId="1" fillId="6" borderId="27" xfId="0" applyFont="1" applyFill="1" applyBorder="1" applyAlignment="1">
      <alignment vertical="center" wrapText="1"/>
    </xf>
    <xf numFmtId="0" fontId="1" fillId="6" borderId="27" xfId="0" applyFont="1" applyFill="1" applyBorder="1"/>
    <xf numFmtId="0" fontId="1" fillId="6" borderId="23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1" fillId="9" borderId="28" xfId="0" applyFont="1" applyFill="1" applyBorder="1"/>
    <xf numFmtId="0" fontId="1" fillId="9" borderId="27" xfId="0" applyFont="1" applyFill="1" applyBorder="1" applyAlignment="1">
      <alignment wrapText="1"/>
    </xf>
    <xf numFmtId="0" fontId="1" fillId="9" borderId="23" xfId="0" applyFont="1" applyFill="1" applyBorder="1" applyAlignment="1">
      <alignment wrapText="1"/>
    </xf>
    <xf numFmtId="0" fontId="1" fillId="9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/>
    </xf>
    <xf numFmtId="164" fontId="9" fillId="0" borderId="0" xfId="0" applyNumberFormat="1" applyFont="1"/>
    <xf numFmtId="0" fontId="2" fillId="7" borderId="25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/>
    </xf>
    <xf numFmtId="11" fontId="0" fillId="7" borderId="25" xfId="0" applyNumberFormat="1" applyFill="1" applyBorder="1" applyAlignment="1">
      <alignment horizontal="center"/>
    </xf>
    <xf numFmtId="166" fontId="1" fillId="7" borderId="25" xfId="0" applyNumberFormat="1" applyFont="1" applyFill="1" applyBorder="1" applyAlignment="1">
      <alignment horizontal="center"/>
    </xf>
    <xf numFmtId="0" fontId="0" fillId="5" borderId="25" xfId="0" applyFill="1" applyBorder="1"/>
    <xf numFmtId="0" fontId="0" fillId="0" borderId="25" xfId="0" applyBorder="1"/>
    <xf numFmtId="0" fontId="0" fillId="11" borderId="12" xfId="0" applyFill="1" applyBorder="1" applyAlignment="1">
      <alignment vertical="center" wrapText="1"/>
    </xf>
    <xf numFmtId="0" fontId="0" fillId="2" borderId="20" xfId="0" applyFill="1" applyBorder="1" applyAlignment="1">
      <alignment horizontal="right" vertical="center"/>
    </xf>
    <xf numFmtId="0" fontId="11" fillId="2" borderId="32" xfId="0" applyFont="1" applyFill="1" applyBorder="1" applyAlignment="1">
      <alignment horizontal="left" vertical="center"/>
    </xf>
    <xf numFmtId="0" fontId="0" fillId="2" borderId="18" xfId="0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1" fillId="12" borderId="25" xfId="0" applyFont="1" applyFill="1" applyBorder="1" applyAlignment="1" applyProtection="1">
      <alignment horizontal="center"/>
      <protection locked="0"/>
    </xf>
    <xf numFmtId="0" fontId="1" fillId="12" borderId="21" xfId="0" applyFont="1" applyFill="1" applyBorder="1" applyAlignment="1" applyProtection="1">
      <alignment horizontal="center"/>
      <protection locked="0"/>
    </xf>
    <xf numFmtId="0" fontId="0" fillId="12" borderId="0" xfId="0" applyFill="1"/>
    <xf numFmtId="0" fontId="14" fillId="12" borderId="0" xfId="0" applyFont="1" applyFill="1"/>
    <xf numFmtId="164" fontId="1" fillId="13" borderId="8" xfId="0" applyNumberFormat="1" applyFont="1" applyFill="1" applyBorder="1"/>
    <xf numFmtId="164" fontId="1" fillId="13" borderId="20" xfId="0" applyNumberFormat="1" applyFont="1" applyFill="1" applyBorder="1"/>
    <xf numFmtId="0" fontId="0" fillId="13" borderId="8" xfId="0" applyFill="1" applyBorder="1" applyAlignment="1">
      <alignment horizontal="center" wrapText="1"/>
    </xf>
    <xf numFmtId="2" fontId="0" fillId="13" borderId="25" xfId="0" applyNumberFormat="1" applyFill="1" applyBorder="1" applyAlignment="1">
      <alignment horizontal="center"/>
    </xf>
    <xf numFmtId="2" fontId="0" fillId="4" borderId="25" xfId="0" applyNumberFormat="1" applyFill="1" applyBorder="1" applyAlignment="1">
      <alignment horizontal="center"/>
    </xf>
    <xf numFmtId="0" fontId="15" fillId="0" borderId="0" xfId="0" applyFont="1"/>
    <xf numFmtId="0" fontId="15" fillId="4" borderId="0" xfId="0" applyFont="1" applyFill="1"/>
    <xf numFmtId="0" fontId="16" fillId="0" borderId="0" xfId="0" applyFont="1"/>
    <xf numFmtId="0" fontId="5" fillId="6" borderId="24" xfId="0" applyFont="1" applyFill="1" applyBorder="1" applyAlignment="1">
      <alignment horizontal="center" vertical="center" textRotation="90"/>
    </xf>
    <xf numFmtId="0" fontId="5" fillId="6" borderId="0" xfId="0" applyFont="1" applyFill="1" applyAlignment="1">
      <alignment horizontal="center" vertical="center" textRotation="90"/>
    </xf>
    <xf numFmtId="0" fontId="0" fillId="7" borderId="25" xfId="0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left" vertical="center"/>
    </xf>
    <xf numFmtId="164" fontId="0" fillId="7" borderId="25" xfId="0" applyNumberFormat="1" applyFill="1" applyBorder="1" applyAlignment="1">
      <alignment horizontal="center"/>
    </xf>
    <xf numFmtId="0" fontId="0" fillId="7" borderId="25" xfId="0" applyFill="1" applyBorder="1" applyAlignment="1">
      <alignment horizontal="center" wrapText="1"/>
    </xf>
    <xf numFmtId="165" fontId="3" fillId="8" borderId="25" xfId="0" applyNumberFormat="1" applyFont="1" applyFill="1" applyBorder="1" applyAlignment="1">
      <alignment horizontal="center" vertical="center"/>
    </xf>
    <xf numFmtId="2" fontId="4" fillId="8" borderId="25" xfId="0" applyNumberFormat="1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left" vertical="center" wrapText="1"/>
    </xf>
    <xf numFmtId="0" fontId="1" fillId="6" borderId="27" xfId="0" applyFont="1" applyFill="1" applyBorder="1" applyAlignment="1">
      <alignment horizontal="left" vertical="center" wrapText="1"/>
    </xf>
    <xf numFmtId="0" fontId="0" fillId="12" borderId="25" xfId="0" applyFill="1" applyBorder="1" applyAlignment="1">
      <alignment horizontal="center" vertical="center"/>
    </xf>
    <xf numFmtId="2" fontId="0" fillId="11" borderId="25" xfId="0" applyNumberForma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/>
    </xf>
    <xf numFmtId="0" fontId="0" fillId="8" borderId="25" xfId="0" applyFill="1" applyBorder="1" applyAlignment="1">
      <alignment horizontal="center" vertical="center"/>
    </xf>
    <xf numFmtId="11" fontId="0" fillId="8" borderId="25" xfId="0" applyNumberForma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1" fontId="0" fillId="7" borderId="25" xfId="0" applyNumberForma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 textRotation="90"/>
    </xf>
    <xf numFmtId="0" fontId="0" fillId="5" borderId="12" xfId="0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 vertical="center" textRotation="90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EAD9"/>
      <color rgb="FFFF666C"/>
      <color rgb="FFFF32FF"/>
      <color rgb="FFDAE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6</xdr:row>
      <xdr:rowOff>180975</xdr:rowOff>
    </xdr:from>
    <xdr:to>
      <xdr:col>14</xdr:col>
      <xdr:colOff>342900</xdr:colOff>
      <xdr:row>10</xdr:row>
      <xdr:rowOff>342900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17139" y="1349825"/>
          <a:ext cx="4073637" cy="113971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/>
            <a:t>m (g)</a:t>
          </a:r>
          <a:r>
            <a:rPr lang="fr-FR" sz="1600" baseline="0"/>
            <a:t> = Q (m3/s) * T (s) * a / b</a:t>
          </a:r>
          <a:endParaRPr lang="fr-FR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46C-5B9D-8C45-AD15-CFBD75FCC6D4}">
  <sheetPr>
    <pageSetUpPr fitToPage="1"/>
  </sheetPr>
  <dimension ref="B1:S32"/>
  <sheetViews>
    <sheetView tabSelected="1" topLeftCell="B6" zoomScale="115" zoomScaleNormal="115" workbookViewId="0">
      <selection activeCell="C9" sqref="C9"/>
    </sheetView>
  </sheetViews>
  <sheetFormatPr baseColWidth="10" defaultColWidth="10.83203125" defaultRowHeight="15" x14ac:dyDescent="0.2"/>
  <cols>
    <col min="1" max="1" width="10.83203125" customWidth="1"/>
    <col min="2" max="2" width="17.5" customWidth="1"/>
    <col min="3" max="3" width="30.5" customWidth="1"/>
    <col min="4" max="4" width="15.1640625" customWidth="1"/>
    <col min="5" max="5" width="34" customWidth="1"/>
    <col min="6" max="6" width="15.1640625" customWidth="1"/>
    <col min="7" max="7" width="13.33203125" customWidth="1"/>
    <col min="8" max="8" width="14" customWidth="1"/>
    <col min="9" max="9" width="15.33203125" customWidth="1"/>
    <col min="10" max="10" width="13.6640625" customWidth="1"/>
    <col min="11" max="11" width="11.33203125" customWidth="1"/>
    <col min="12" max="12" width="12" bestFit="1" customWidth="1"/>
    <col min="13" max="13" width="11.83203125" customWidth="1"/>
    <col min="15" max="15" width="11.6640625" customWidth="1"/>
  </cols>
  <sheetData>
    <row r="1" spans="2:19" ht="92" customHeight="1" x14ac:dyDescent="1.1000000000000001">
      <c r="B1" s="71" t="s">
        <v>58</v>
      </c>
    </row>
    <row r="3" spans="2:19" x14ac:dyDescent="0.2">
      <c r="B3" t="s">
        <v>43</v>
      </c>
    </row>
    <row r="4" spans="2:19" x14ac:dyDescent="0.2">
      <c r="B4" t="s">
        <v>44</v>
      </c>
    </row>
    <row r="5" spans="2:19" ht="24" x14ac:dyDescent="0.3">
      <c r="D5" s="69" t="s">
        <v>63</v>
      </c>
      <c r="F5" s="63">
        <v>100.3</v>
      </c>
    </row>
    <row r="6" spans="2:19" ht="24" x14ac:dyDescent="0.3">
      <c r="D6" s="70" t="s">
        <v>62</v>
      </c>
      <c r="E6" s="3"/>
      <c r="F6" s="63">
        <v>1.0403</v>
      </c>
      <c r="G6" t="s">
        <v>61</v>
      </c>
    </row>
    <row r="7" spans="2:19" ht="24" x14ac:dyDescent="0.3">
      <c r="D7" s="69" t="s">
        <v>56</v>
      </c>
      <c r="F7" s="63">
        <v>5</v>
      </c>
    </row>
    <row r="10" spans="2:19" ht="16" thickBot="1" x14ac:dyDescent="0.25">
      <c r="B10" s="1"/>
      <c r="C10" s="1"/>
      <c r="D10" s="90" t="s">
        <v>28</v>
      </c>
      <c r="E10" s="90"/>
      <c r="F10" s="90" t="s">
        <v>29</v>
      </c>
      <c r="G10" s="90"/>
      <c r="H10" s="90" t="s">
        <v>30</v>
      </c>
      <c r="I10" s="90"/>
      <c r="J10" s="87" t="s">
        <v>38</v>
      </c>
      <c r="K10" s="88"/>
      <c r="L10" s="87" t="s">
        <v>39</v>
      </c>
      <c r="M10" s="88"/>
      <c r="N10" s="87" t="s">
        <v>40</v>
      </c>
      <c r="O10" s="88"/>
      <c r="P10" s="87" t="s">
        <v>41</v>
      </c>
      <c r="Q10" s="88"/>
      <c r="R10" s="87" t="s">
        <v>59</v>
      </c>
      <c r="S10" s="88"/>
    </row>
    <row r="11" spans="2:19" ht="33" customHeight="1" thickTop="1" x14ac:dyDescent="0.2">
      <c r="B11" s="72" t="s">
        <v>18</v>
      </c>
      <c r="C11" s="80" t="s">
        <v>9</v>
      </c>
      <c r="D11" s="47" t="s">
        <v>57</v>
      </c>
      <c r="E11" s="48" t="s">
        <v>11</v>
      </c>
      <c r="F11" s="47" t="s">
        <v>10</v>
      </c>
      <c r="G11" s="48" t="s">
        <v>11</v>
      </c>
      <c r="H11" s="47" t="s">
        <v>10</v>
      </c>
      <c r="I11" s="48" t="s">
        <v>11</v>
      </c>
      <c r="J11" s="44" t="s">
        <v>10</v>
      </c>
      <c r="K11" s="27" t="s">
        <v>11</v>
      </c>
      <c r="L11" s="5" t="s">
        <v>10</v>
      </c>
      <c r="M11" s="27" t="s">
        <v>11</v>
      </c>
      <c r="N11" s="5" t="s">
        <v>10</v>
      </c>
      <c r="O11" s="27" t="s">
        <v>11</v>
      </c>
      <c r="P11" s="5" t="s">
        <v>10</v>
      </c>
      <c r="Q11" s="27" t="s">
        <v>11</v>
      </c>
      <c r="R11" s="5" t="s">
        <v>10</v>
      </c>
      <c r="S11" s="27" t="s">
        <v>11</v>
      </c>
    </row>
    <row r="12" spans="2:19" x14ac:dyDescent="0.2">
      <c r="B12" s="73"/>
      <c r="C12" s="81"/>
      <c r="D12" s="68">
        <f>E12/$F6</f>
        <v>1.9225223493223109</v>
      </c>
      <c r="E12" s="60">
        <v>2</v>
      </c>
      <c r="F12" s="67">
        <f>G12</f>
        <v>4.99</v>
      </c>
      <c r="G12" s="60">
        <v>4.99</v>
      </c>
      <c r="H12" s="67">
        <f>I12</f>
        <v>1000</v>
      </c>
      <c r="I12" s="60">
        <v>1000</v>
      </c>
      <c r="J12" s="45"/>
      <c r="K12" s="61">
        <v>8</v>
      </c>
      <c r="L12" s="6"/>
      <c r="M12" s="61">
        <v>8</v>
      </c>
      <c r="N12" s="6"/>
      <c r="O12" s="61">
        <v>8</v>
      </c>
      <c r="P12" s="6"/>
      <c r="Q12" s="61">
        <v>10</v>
      </c>
      <c r="R12" s="6"/>
      <c r="S12" s="61">
        <v>10</v>
      </c>
    </row>
    <row r="13" spans="2:19" ht="47" customHeight="1" x14ac:dyDescent="0.2">
      <c r="B13" s="73"/>
      <c r="C13" s="36" t="s">
        <v>48</v>
      </c>
      <c r="D13" s="82">
        <v>1000</v>
      </c>
      <c r="E13" s="82"/>
      <c r="F13" s="82">
        <v>1000</v>
      </c>
      <c r="G13" s="82"/>
      <c r="H13" s="82">
        <v>1000</v>
      </c>
      <c r="I13" s="82"/>
      <c r="J13" s="64">
        <f>J12*H17/1000*1000</f>
        <v>0</v>
      </c>
      <c r="K13" s="66" t="s">
        <v>31</v>
      </c>
      <c r="L13" s="65">
        <f>L12*H17/1000*1000</f>
        <v>0</v>
      </c>
      <c r="M13" s="66" t="s">
        <v>31</v>
      </c>
      <c r="N13" s="65">
        <f>N12*H17/1000*1000</f>
        <v>0</v>
      </c>
      <c r="O13" s="66" t="s">
        <v>31</v>
      </c>
      <c r="P13" s="65">
        <f>P12*H17/1000*1000</f>
        <v>0</v>
      </c>
      <c r="Q13" s="66" t="s">
        <v>31</v>
      </c>
      <c r="R13" s="65">
        <f>R12*H17/1000*1000</f>
        <v>0</v>
      </c>
      <c r="S13" s="66" t="s">
        <v>31</v>
      </c>
    </row>
    <row r="14" spans="2:19" ht="32" x14ac:dyDescent="0.2">
      <c r="B14" s="73"/>
      <c r="C14" s="75" t="s">
        <v>17</v>
      </c>
      <c r="D14" s="49" t="s">
        <v>12</v>
      </c>
      <c r="E14" s="50" t="s">
        <v>13</v>
      </c>
      <c r="F14" s="49" t="s">
        <v>12</v>
      </c>
      <c r="G14" s="50" t="s">
        <v>13</v>
      </c>
      <c r="H14" s="49" t="s">
        <v>12</v>
      </c>
      <c r="I14" s="50" t="s">
        <v>13</v>
      </c>
      <c r="J14" s="64">
        <f>K12*H17/1000*1000</f>
        <v>8.0079520000000013</v>
      </c>
      <c r="K14" s="66" t="s">
        <v>32</v>
      </c>
      <c r="L14" s="65">
        <f>M12*H17/1000*1000</f>
        <v>8.0079520000000013</v>
      </c>
      <c r="M14" s="66" t="s">
        <v>32</v>
      </c>
      <c r="N14" s="65">
        <f>O12*H17/1000*1000</f>
        <v>8.0079520000000013</v>
      </c>
      <c r="O14" s="66" t="s">
        <v>32</v>
      </c>
      <c r="P14" s="65">
        <f>Q12*H17/1000*1000</f>
        <v>10.009940000000002</v>
      </c>
      <c r="Q14" s="66" t="s">
        <v>32</v>
      </c>
      <c r="R14" s="65">
        <f>S12*H17/1000*1000</f>
        <v>10.009940000000002</v>
      </c>
      <c r="S14" s="66" t="s">
        <v>32</v>
      </c>
    </row>
    <row r="15" spans="2:19" x14ac:dyDescent="0.2">
      <c r="B15" s="73"/>
      <c r="C15" s="75"/>
      <c r="D15" s="51">
        <f>D12/D13</f>
        <v>1.922522349322311E-3</v>
      </c>
      <c r="E15" s="52">
        <f>D12/D13</f>
        <v>1.922522349322311E-3</v>
      </c>
      <c r="F15" s="51">
        <f>F12/F13</f>
        <v>4.9900000000000005E-3</v>
      </c>
      <c r="G15" s="52">
        <f>F12/F13</f>
        <v>4.9900000000000005E-3</v>
      </c>
      <c r="H15" s="51">
        <f>H12/H13</f>
        <v>1</v>
      </c>
      <c r="I15" s="52">
        <f>H12/H13</f>
        <v>1</v>
      </c>
    </row>
    <row r="16" spans="2:19" x14ac:dyDescent="0.2">
      <c r="B16" s="73"/>
      <c r="C16" s="37" t="s">
        <v>16</v>
      </c>
      <c r="D16" s="89">
        <f>E15*G15*I15</f>
        <v>9.5933865231183329E-6</v>
      </c>
      <c r="E16" s="89"/>
      <c r="F16" s="89"/>
      <c r="G16" s="89"/>
      <c r="H16" s="89"/>
      <c r="I16" s="89"/>
      <c r="L16" s="28"/>
      <c r="N16" s="28"/>
    </row>
    <row r="17" spans="2:15" x14ac:dyDescent="0.2">
      <c r="B17" s="73"/>
      <c r="C17" s="37" t="s">
        <v>0</v>
      </c>
      <c r="D17" s="76">
        <f>(E12*1000)/(D13*0.001)*(F5/1000)</f>
        <v>200.6</v>
      </c>
      <c r="E17" s="76"/>
      <c r="F17" s="76">
        <f>D17*G15</f>
        <v>1.0009940000000002</v>
      </c>
      <c r="G17" s="76"/>
      <c r="H17" s="76">
        <f>F17*I15</f>
        <v>1.0009940000000002</v>
      </c>
      <c r="I17" s="76"/>
      <c r="J17" s="46"/>
      <c r="K17" s="31"/>
      <c r="L17" s="30"/>
      <c r="M17" s="31"/>
      <c r="N17" s="30"/>
      <c r="O17" s="31"/>
    </row>
    <row r="18" spans="2:15" ht="33" customHeight="1" x14ac:dyDescent="0.2">
      <c r="B18" s="73"/>
      <c r="C18" s="38" t="s">
        <v>14</v>
      </c>
      <c r="D18" s="77" t="s">
        <v>49</v>
      </c>
      <c r="E18" s="77"/>
      <c r="F18" s="77" t="s">
        <v>49</v>
      </c>
      <c r="G18" s="77"/>
      <c r="H18" s="77" t="s">
        <v>49</v>
      </c>
      <c r="I18" s="77"/>
    </row>
    <row r="19" spans="2:15" ht="82.5" customHeight="1" x14ac:dyDescent="0.2">
      <c r="B19" s="73"/>
      <c r="C19" s="39" t="s">
        <v>15</v>
      </c>
      <c r="D19" s="74" t="s">
        <v>45</v>
      </c>
      <c r="E19" s="74"/>
      <c r="F19" s="74" t="s">
        <v>46</v>
      </c>
      <c r="G19" s="74"/>
      <c r="H19" s="74" t="s">
        <v>47</v>
      </c>
      <c r="I19" s="74"/>
    </row>
    <row r="20" spans="2:15" ht="0.75" customHeight="1" x14ac:dyDescent="0.2">
      <c r="B20" s="73"/>
      <c r="C20" s="40" t="s">
        <v>1</v>
      </c>
      <c r="D20" s="53"/>
      <c r="E20" s="53"/>
      <c r="F20" s="84">
        <v>0.5</v>
      </c>
      <c r="G20" s="84"/>
      <c r="H20" s="54"/>
      <c r="I20" s="54"/>
    </row>
    <row r="21" spans="2:15" ht="32" hidden="1" customHeight="1" x14ac:dyDescent="0.2">
      <c r="B21" s="73"/>
      <c r="C21" s="41" t="s">
        <v>2</v>
      </c>
      <c r="D21" s="53"/>
      <c r="E21" s="53"/>
      <c r="F21" s="85">
        <v>500</v>
      </c>
      <c r="G21" s="85"/>
      <c r="H21" s="54"/>
      <c r="I21" s="54"/>
    </row>
    <row r="22" spans="2:15" ht="29.25" hidden="1" customHeight="1" x14ac:dyDescent="0.2">
      <c r="B22" s="73"/>
      <c r="C22" s="41" t="s">
        <v>3</v>
      </c>
      <c r="D22" s="53"/>
      <c r="E22" s="53"/>
      <c r="F22" s="86">
        <f>F20/F21</f>
        <v>1E-3</v>
      </c>
      <c r="G22" s="86"/>
      <c r="H22" s="54"/>
      <c r="I22" s="54"/>
    </row>
    <row r="23" spans="2:15" ht="33" hidden="1" customHeight="1" x14ac:dyDescent="0.2">
      <c r="B23" s="73"/>
      <c r="C23" s="41" t="s">
        <v>4</v>
      </c>
      <c r="D23" s="53"/>
      <c r="E23" s="53"/>
      <c r="F23" s="86">
        <f>D16*F22</f>
        <v>9.5933865231183327E-9</v>
      </c>
      <c r="G23" s="86"/>
      <c r="H23" s="54"/>
      <c r="I23" s="54"/>
    </row>
    <row r="24" spans="2:15" ht="27.75" hidden="1" customHeight="1" x14ac:dyDescent="0.2">
      <c r="B24" s="73"/>
      <c r="C24" s="42" t="s">
        <v>7</v>
      </c>
      <c r="D24" s="53"/>
      <c r="E24" s="53"/>
      <c r="F24" s="78">
        <f>F17*1000*F22</f>
        <v>1.0009940000000002</v>
      </c>
      <c r="G24" s="78"/>
      <c r="H24" s="54"/>
      <c r="I24" s="54"/>
    </row>
    <row r="25" spans="2:15" ht="81" hidden="1" customHeight="1" thickBot="1" x14ac:dyDescent="0.25">
      <c r="B25" s="73"/>
      <c r="C25" s="43" t="s">
        <v>5</v>
      </c>
      <c r="D25" s="53"/>
      <c r="E25" s="53"/>
      <c r="F25" s="79" t="s">
        <v>6</v>
      </c>
      <c r="G25" s="79"/>
      <c r="H25" s="54"/>
      <c r="I25" s="54"/>
    </row>
    <row r="26" spans="2:15" ht="81" customHeight="1" x14ac:dyDescent="0.2">
      <c r="B26" s="73"/>
      <c r="C26" s="55" t="s">
        <v>50</v>
      </c>
      <c r="D26" s="83">
        <f>D17*0.05*1000/5</f>
        <v>2006.0000000000005</v>
      </c>
      <c r="E26" s="83"/>
      <c r="F26" s="83">
        <f>F17*0.05*1000/5</f>
        <v>10.009940000000002</v>
      </c>
      <c r="G26" s="83"/>
      <c r="H26" s="83">
        <f>H17*0.05*1000/5</f>
        <v>10.009940000000002</v>
      </c>
      <c r="I26" s="83"/>
    </row>
    <row r="27" spans="2:15" ht="19" x14ac:dyDescent="0.25">
      <c r="J27" s="32" t="s">
        <v>55</v>
      </c>
      <c r="K27" s="32"/>
    </row>
    <row r="28" spans="2:15" ht="60" x14ac:dyDescent="0.25">
      <c r="H28" s="35" t="s">
        <v>42</v>
      </c>
      <c r="I28" s="32" t="s">
        <v>33</v>
      </c>
      <c r="J28" s="33">
        <f>J14/(F7+K12/1000)</f>
        <v>1.5990319488817895</v>
      </c>
      <c r="K28" s="33"/>
    </row>
    <row r="29" spans="2:15" ht="19" x14ac:dyDescent="0.25">
      <c r="C29" s="29"/>
      <c r="I29" s="32" t="s">
        <v>34</v>
      </c>
      <c r="J29" s="33">
        <f>(J14+L14)/(F7+K12/1000+M12/1000)</f>
        <v>3.1929633173843706</v>
      </c>
      <c r="K29" s="33"/>
    </row>
    <row r="30" spans="2:15" ht="19" x14ac:dyDescent="0.25">
      <c r="C30" s="62"/>
      <c r="D30" t="s">
        <v>19</v>
      </c>
      <c r="I30" s="32" t="s">
        <v>35</v>
      </c>
      <c r="J30" s="33">
        <f>(J14+L14+N14)/(F7+K12/1000+M12/1000+O12/1000)</f>
        <v>4.78181847133758</v>
      </c>
      <c r="K30" s="33"/>
    </row>
    <row r="31" spans="2:15" ht="19" x14ac:dyDescent="0.25">
      <c r="I31" s="32" t="s">
        <v>36</v>
      </c>
      <c r="J31" s="33">
        <f>(J14+L14+N14+P14)/(F7+K12/1000+M12/1000+O12/1000+Q12/1000)</f>
        <v>6.7607858561779901</v>
      </c>
      <c r="K31" s="33"/>
    </row>
    <row r="32" spans="2:15" ht="19" x14ac:dyDescent="0.25">
      <c r="D32" s="7"/>
      <c r="I32" s="32" t="s">
        <v>37</v>
      </c>
      <c r="J32" s="33">
        <f>(J14+L14+N14+P14+R14)/(F7+K12/1000+M12/1000+O12/1000+Q12/1000+S12/1000)</f>
        <v>8.7319064234734345</v>
      </c>
      <c r="K32" s="33"/>
    </row>
  </sheetData>
  <sheetProtection selectLockedCells="1"/>
  <mergeCells count="33">
    <mergeCell ref="R10:S10"/>
    <mergeCell ref="D16:I16"/>
    <mergeCell ref="J10:K10"/>
    <mergeCell ref="D10:E10"/>
    <mergeCell ref="F10:G10"/>
    <mergeCell ref="H10:I10"/>
    <mergeCell ref="F17:G17"/>
    <mergeCell ref="F18:G18"/>
    <mergeCell ref="L10:M10"/>
    <mergeCell ref="N10:O10"/>
    <mergeCell ref="P10:Q10"/>
    <mergeCell ref="F26:G26"/>
    <mergeCell ref="H26:I26"/>
    <mergeCell ref="F20:G20"/>
    <mergeCell ref="F21:G21"/>
    <mergeCell ref="F22:G22"/>
    <mergeCell ref="F23:G23"/>
    <mergeCell ref="B11:B26"/>
    <mergeCell ref="F19:G19"/>
    <mergeCell ref="C14:C15"/>
    <mergeCell ref="H17:I17"/>
    <mergeCell ref="H18:I18"/>
    <mergeCell ref="H19:I19"/>
    <mergeCell ref="F24:G24"/>
    <mergeCell ref="F25:G25"/>
    <mergeCell ref="D17:E17"/>
    <mergeCell ref="D18:E18"/>
    <mergeCell ref="D19:E19"/>
    <mergeCell ref="C11:C12"/>
    <mergeCell ref="D13:E13"/>
    <mergeCell ref="F13:G13"/>
    <mergeCell ref="H13:I13"/>
    <mergeCell ref="D26:E26"/>
  </mergeCells>
  <phoneticPr fontId="10" type="noConversion"/>
  <pageMargins left="0.7" right="0.7" top="0.75" bottom="0.75" header="0.3" footer="0.3"/>
  <pageSetup paperSize="9" scale="74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8"/>
  <sheetViews>
    <sheetView zoomScale="136" workbookViewId="0">
      <selection activeCell="D14" sqref="D14"/>
    </sheetView>
  </sheetViews>
  <sheetFormatPr baseColWidth="10" defaultColWidth="10.83203125" defaultRowHeight="15" x14ac:dyDescent="0.2"/>
  <cols>
    <col min="1" max="1" width="2.33203125" customWidth="1"/>
    <col min="2" max="2" width="4.83203125" customWidth="1"/>
    <col min="3" max="3" width="31" customWidth="1"/>
    <col min="4" max="7" width="10.6640625" customWidth="1"/>
    <col min="8" max="8" width="10.5" customWidth="1"/>
    <col min="9" max="9" width="10.6640625" hidden="1" customWidth="1"/>
  </cols>
  <sheetData>
    <row r="2" spans="2:13" x14ac:dyDescent="0.2">
      <c r="C2" s="91" t="s">
        <v>26</v>
      </c>
      <c r="D2" s="91"/>
      <c r="E2" s="91"/>
    </row>
    <row r="3" spans="2:13" ht="14.25" customHeight="1" thickBot="1" x14ac:dyDescent="0.25">
      <c r="C3" s="13"/>
      <c r="D3" s="13"/>
      <c r="E3" s="13"/>
    </row>
    <row r="4" spans="2:13" ht="16" thickBot="1" x14ac:dyDescent="0.25">
      <c r="C4" s="11" t="s">
        <v>20</v>
      </c>
      <c r="D4" s="9" t="s">
        <v>21</v>
      </c>
      <c r="E4" s="10" t="s">
        <v>22</v>
      </c>
      <c r="G4" s="2"/>
      <c r="H4" t="s">
        <v>19</v>
      </c>
    </row>
    <row r="5" spans="2:13" ht="16" thickBot="1" x14ac:dyDescent="0.25">
      <c r="C5" s="12" t="s">
        <v>23</v>
      </c>
      <c r="D5" s="14">
        <v>0.25</v>
      </c>
      <c r="E5" s="15">
        <v>2</v>
      </c>
      <c r="I5">
        <f>(E5-D5)/4</f>
        <v>0.4375</v>
      </c>
    </row>
    <row r="6" spans="2:13" ht="16" thickBot="1" x14ac:dyDescent="0.25">
      <c r="C6" s="11" t="s">
        <v>24</v>
      </c>
      <c r="D6" s="16">
        <v>200</v>
      </c>
      <c r="E6" s="17">
        <v>1800</v>
      </c>
      <c r="I6">
        <f>(E6-D6)/4</f>
        <v>400</v>
      </c>
    </row>
    <row r="7" spans="2:13" ht="16" thickBot="1" x14ac:dyDescent="0.25"/>
    <row r="8" spans="2:13" x14ac:dyDescent="0.2">
      <c r="B8" s="98" t="s">
        <v>54</v>
      </c>
      <c r="C8" s="99"/>
      <c r="D8" s="92" t="s">
        <v>25</v>
      </c>
      <c r="E8" s="93"/>
      <c r="F8" s="93"/>
      <c r="G8" s="93"/>
      <c r="H8" s="94"/>
    </row>
    <row r="9" spans="2:13" ht="16" thickBot="1" x14ac:dyDescent="0.25">
      <c r="B9" s="100"/>
      <c r="C9" s="101"/>
      <c r="D9" s="18">
        <f>$D$5</f>
        <v>0.25</v>
      </c>
      <c r="E9" s="19">
        <f>$D$5+$I$5</f>
        <v>0.6875</v>
      </c>
      <c r="F9" s="19">
        <f>$D$5+2*$I$5</f>
        <v>1.125</v>
      </c>
      <c r="G9" s="19">
        <f>$D$5+3*$I$5</f>
        <v>1.5625</v>
      </c>
      <c r="H9" s="20">
        <f>$D$5+4*$I$5</f>
        <v>2</v>
      </c>
      <c r="I9" s="4"/>
    </row>
    <row r="10" spans="2:13" ht="30" customHeight="1" x14ac:dyDescent="0.2">
      <c r="B10" s="95" t="s">
        <v>27</v>
      </c>
      <c r="C10" s="21">
        <f>$D$6</f>
        <v>200</v>
      </c>
      <c r="D10" s="23">
        <f>$M$12*$C$10*D9/$M$13</f>
        <v>4.9850448654037889</v>
      </c>
      <c r="E10" s="23">
        <f>$M$12*$C$10*E9/$M$13</f>
        <v>13.708873379860419</v>
      </c>
      <c r="F10" s="23">
        <f>$M$12*$C$10*F9/$M$13</f>
        <v>22.432701894317049</v>
      </c>
      <c r="G10" s="23">
        <f>$M$12*$C$10*G9/$M$13</f>
        <v>31.15653040877368</v>
      </c>
      <c r="H10" s="24">
        <f>$M$12*$C$10*H9/$M$13</f>
        <v>39.880358923230311</v>
      </c>
      <c r="I10" s="8"/>
    </row>
    <row r="11" spans="2:13" ht="30" customHeight="1" x14ac:dyDescent="0.2">
      <c r="B11" s="96"/>
      <c r="C11" s="22">
        <f>$D$6+$I$6</f>
        <v>600</v>
      </c>
      <c r="D11" s="23">
        <f>$M$12*$C$11*D9/$M$13</f>
        <v>14.955134596211366</v>
      </c>
      <c r="E11" s="23">
        <f>$M$12*$C$11*E9/$M$13</f>
        <v>41.126620139581256</v>
      </c>
      <c r="F11" s="23">
        <f>$M$12*$C$11*F9/$M$13</f>
        <v>67.298105682951146</v>
      </c>
      <c r="G11" s="23">
        <f>$M$12*$C$11*G9/$M$13</f>
        <v>93.469591226321043</v>
      </c>
      <c r="H11" s="24">
        <f>$M$12*$C$11*H9/$M$13</f>
        <v>119.64107676969093</v>
      </c>
      <c r="I11" s="8"/>
    </row>
    <row r="12" spans="2:13" ht="30" customHeight="1" x14ac:dyDescent="0.2">
      <c r="B12" s="96"/>
      <c r="C12" s="22">
        <f>$D$6+2*$I$6</f>
        <v>1000</v>
      </c>
      <c r="D12" s="23">
        <f>$M$12*$C$12*D9/$M$13</f>
        <v>24.925224327018942</v>
      </c>
      <c r="E12" s="23">
        <f>$M$12*$C$12*E9/$M$13</f>
        <v>68.544366899302091</v>
      </c>
      <c r="F12" s="23">
        <f>$M$12*$C$12*F9/$M$13</f>
        <v>112.16350947158524</v>
      </c>
      <c r="G12" s="23">
        <f>$M$12*$C$12*G9/$M$13</f>
        <v>155.78265204386838</v>
      </c>
      <c r="H12" s="24">
        <f>$M$12*$C$12*H9/$M$13</f>
        <v>199.40179461615153</v>
      </c>
      <c r="I12" s="8"/>
      <c r="L12" s="56" t="s">
        <v>8</v>
      </c>
      <c r="M12" s="57">
        <v>0.01</v>
      </c>
    </row>
    <row r="13" spans="2:13" ht="30" customHeight="1" x14ac:dyDescent="0.2">
      <c r="B13" s="96"/>
      <c r="C13" s="22">
        <f>$D$6+3*$I$6</f>
        <v>1400</v>
      </c>
      <c r="D13" s="23">
        <f>$M$12*$C$13*D9/$M$13</f>
        <v>34.895314057826518</v>
      </c>
      <c r="E13" s="23">
        <f>$M$12*$C$13*E9/$M$13</f>
        <v>95.962113659022933</v>
      </c>
      <c r="F13" s="23">
        <f>$M$12*$C$13*F9/$M$13</f>
        <v>157.02891326021935</v>
      </c>
      <c r="G13" s="23">
        <f>$M$12*$C$13*G9/$M$13</f>
        <v>218.09571286141576</v>
      </c>
      <c r="H13" s="24">
        <f>$M$12*$C$13*H9/$M$13</f>
        <v>279.16251246261214</v>
      </c>
      <c r="I13" s="8"/>
      <c r="L13" s="58" t="s">
        <v>52</v>
      </c>
      <c r="M13" s="59">
        <f>'Dilution concentration gravi'!F5/1000</f>
        <v>0.1003</v>
      </c>
    </row>
    <row r="14" spans="2:13" ht="30" customHeight="1" thickBot="1" x14ac:dyDescent="0.25">
      <c r="B14" s="97"/>
      <c r="C14" s="20">
        <f>$D$6+4*$I$6</f>
        <v>1800</v>
      </c>
      <c r="D14" s="25">
        <f>$M$12*$C$14*D9/$M$13</f>
        <v>44.865403788634097</v>
      </c>
      <c r="E14" s="25">
        <f>$M$12*$C$14*E9/$M$13</f>
        <v>123.37986041874377</v>
      </c>
      <c r="F14" s="25">
        <f>$M$12*$C$14*F9/$M$13</f>
        <v>201.89431704885345</v>
      </c>
      <c r="G14" s="25">
        <f>$M$12*$C$14*G9/$M$13</f>
        <v>280.40877367896309</v>
      </c>
      <c r="H14" s="26">
        <f>$M$12*$C$14*H9/$M$13</f>
        <v>358.92323030907278</v>
      </c>
      <c r="I14" s="8"/>
      <c r="L14" t="s">
        <v>60</v>
      </c>
    </row>
    <row r="15" spans="2:13" x14ac:dyDescent="0.2">
      <c r="L15" t="s">
        <v>51</v>
      </c>
    </row>
    <row r="18" spans="12:13" x14ac:dyDescent="0.2">
      <c r="L18" t="s">
        <v>53</v>
      </c>
      <c r="M18" s="34">
        <v>3.0000000000000001E-3</v>
      </c>
    </row>
  </sheetData>
  <sheetProtection selectLockedCells="1"/>
  <mergeCells count="4">
    <mergeCell ref="C2:E2"/>
    <mergeCell ref="D8:H8"/>
    <mergeCell ref="B10:B14"/>
    <mergeCell ref="B8:C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c3088f-455b-475b-8302-9f02570b14fd">
      <Terms xmlns="http://schemas.microsoft.com/office/infopath/2007/PartnerControls"/>
    </lcf76f155ced4ddcb4097134ff3c332f>
    <TaxCatchAll xmlns="6e7b6f15-1145-449f-a4bf-1f75763d2a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12E04C458634C94FE828E2E64B7C0" ma:contentTypeVersion="15" ma:contentTypeDescription="Crée un document." ma:contentTypeScope="" ma:versionID="741fcba290c21f7cdc44fdca20841ba5">
  <xsd:schema xmlns:xsd="http://www.w3.org/2001/XMLSchema" xmlns:xs="http://www.w3.org/2001/XMLSchema" xmlns:p="http://schemas.microsoft.com/office/2006/metadata/properties" xmlns:ns2="ddc3088f-455b-475b-8302-9f02570b14fd" xmlns:ns3="6e7b6f15-1145-449f-a4bf-1f75763d2a97" targetNamespace="http://schemas.microsoft.com/office/2006/metadata/properties" ma:root="true" ma:fieldsID="0f5843c9c610f59c6e49e40d07cc4775" ns2:_="" ns3:_="">
    <xsd:import namespace="ddc3088f-455b-475b-8302-9f02570b14fd"/>
    <xsd:import namespace="6e7b6f15-1145-449f-a4bf-1f75763d2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3088f-455b-475b-8302-9f02570b1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bddc014-5297-4258-a782-6a7e46415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b6f15-1145-449f-a4bf-1f75763d2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2a7e54-b745-4441-8eb4-caf4f94b6b85}" ma:internalName="TaxCatchAll" ma:showField="CatchAllData" ma:web="6e7b6f15-1145-449f-a4bf-1f75763d2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F71025-F80D-4439-9D0E-26A645E85F23}">
  <ds:schemaRefs>
    <ds:schemaRef ds:uri="http://schemas.microsoft.com/office/2006/metadata/properties"/>
    <ds:schemaRef ds:uri="http://schemas.microsoft.com/office/infopath/2007/PartnerControls"/>
    <ds:schemaRef ds:uri="ddc3088f-455b-475b-8302-9f02570b14fd"/>
    <ds:schemaRef ds:uri="6e7b6f15-1145-449f-a4bf-1f75763d2a97"/>
  </ds:schemaRefs>
</ds:datastoreItem>
</file>

<file path=customXml/itemProps2.xml><?xml version="1.0" encoding="utf-8"?>
<ds:datastoreItem xmlns:ds="http://schemas.openxmlformats.org/officeDocument/2006/customXml" ds:itemID="{B052F2B8-7B0B-460A-86CE-BFB9676D95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6D4853-25EE-4C90-96A1-4264A7203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c3088f-455b-475b-8302-9f02570b14fd"/>
    <ds:schemaRef ds:uri="6e7b6f15-1145-449f-a4bf-1f75763d2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Dilution concentration gravi</vt:lpstr>
      <vt:lpstr>Help on injection preparation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BELLEVILLE</dc:creator>
  <cp:lastModifiedBy>POHL Eric</cp:lastModifiedBy>
  <cp:lastPrinted>2018-03-12T12:15:43Z</cp:lastPrinted>
  <dcterms:created xsi:type="dcterms:W3CDTF">2017-04-11T05:48:35Z</dcterms:created>
  <dcterms:modified xsi:type="dcterms:W3CDTF">2026-07-07T13:54:10Z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0x01010030F12E04C458634C94FE828E2E64B7C0</vt:lpwstr>
  </property>
  <property fmtid="{D5CDD505-2E9C-101B-9397-08002B2CF9AE}" pid="3" name="MediaServiceImageTags">
    <vt:lpwstr/>
  </property>
</Properties>
</file>